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efca1733e6c678/Desktop/MarTech/"/>
    </mc:Choice>
  </mc:AlternateContent>
  <xr:revisionPtr revIDLastSave="54" documentId="8_{FD3C2BCD-B020-4D0A-950F-D8E7BAE2CE40}" xr6:coauthVersionLast="47" xr6:coauthVersionMax="47" xr10:uidLastSave="{D05ADDB7-9675-4BD9-9199-C9774C5489F0}"/>
  <bookViews>
    <workbookView xWindow="-28920" yWindow="-2610" windowWidth="29040" windowHeight="17520" tabRatio="500" xr2:uid="{00000000-000D-0000-FFFF-FFFF00000000}"/>
  </bookViews>
  <sheets>
    <sheet name="Scorecard" sheetId="1" r:id="rId1"/>
    <sheet name="Scoring Guid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1" l="1"/>
  <c r="E43" i="1"/>
  <c r="E42" i="1"/>
  <c r="C41" i="1"/>
  <c r="E40" i="1"/>
  <c r="E39" i="1"/>
  <c r="C38" i="1"/>
  <c r="E37" i="1"/>
  <c r="E36" i="1"/>
  <c r="E35" i="1"/>
  <c r="C34" i="1"/>
  <c r="E33" i="1"/>
  <c r="E32" i="1"/>
  <c r="E31" i="1"/>
  <c r="C30" i="1"/>
  <c r="E29" i="1"/>
  <c r="E28" i="1"/>
  <c r="E27" i="1"/>
  <c r="E26" i="1"/>
  <c r="E25" i="1"/>
  <c r="C24" i="1"/>
  <c r="E23" i="1"/>
  <c r="E22" i="1"/>
  <c r="E21" i="1"/>
  <c r="E20" i="1"/>
  <c r="E19" i="1"/>
  <c r="C18" i="1"/>
  <c r="E17" i="1"/>
  <c r="E16" i="1"/>
  <c r="E15" i="1"/>
  <c r="E14" i="1"/>
  <c r="C13" i="1"/>
  <c r="E12" i="1"/>
  <c r="E11" i="1"/>
  <c r="E10" i="1"/>
  <c r="E9" i="1"/>
  <c r="C8" i="1"/>
  <c r="E8" i="1" l="1"/>
  <c r="E18" i="1"/>
  <c r="E13" i="1"/>
  <c r="E41" i="1"/>
  <c r="E34" i="1"/>
  <c r="E38" i="1"/>
  <c r="E30" i="1"/>
  <c r="E24" i="1"/>
  <c r="E45" i="1"/>
  <c r="E46" i="1" l="1"/>
</calcChain>
</file>

<file path=xl/sharedStrings.xml><?xml version="1.0" encoding="utf-8"?>
<sst xmlns="http://schemas.openxmlformats.org/spreadsheetml/2006/main" count="73" uniqueCount="73">
  <si>
    <t>MarTech Vendor Selection — Weighted Scorecard</t>
  </si>
  <si>
    <t>Evaluation Criteria</t>
  </si>
  <si>
    <t>Weight</t>
  </si>
  <si>
    <t>Score (1–5)</t>
  </si>
  <si>
    <t>Weighted</t>
  </si>
  <si>
    <t>Functional &amp; Use-Case Fit</t>
  </si>
  <si>
    <t>Core use-case coverage (the jobs you actually need done)</t>
  </si>
  <si>
    <t>Channel &amp; campaign breadth</t>
  </si>
  <si>
    <t>Personalization &amp; segmentation depth</t>
  </si>
  <si>
    <t>Reporting &amp; attribution quality</t>
  </si>
  <si>
    <t>Integration &amp; Architecture Fit</t>
  </si>
  <si>
    <t>Native connectors to existing stack (CDP / CRM / DW)</t>
  </si>
  <si>
    <t>API quality, webhooks &amp; extensibility</t>
  </si>
  <si>
    <t>Data model &amp; identity-resolution fit</t>
  </si>
  <si>
    <t>Real-time vs. batch fit for use case</t>
  </si>
  <si>
    <t>AI &amp; Agentic Capability</t>
  </si>
  <si>
    <t>Model quality &amp; relevance to the use case</t>
  </si>
  <si>
    <t>Eval methodology &amp; output-quality controls</t>
  </si>
  <si>
    <t>Agentic autonomy &amp; human-in-the-loop controls</t>
  </si>
  <si>
    <t>Model flexibility / no model lock-in (BYO-model)</t>
  </si>
  <si>
    <t>Prompt &amp; output data governance</t>
  </si>
  <si>
    <t>Data, Security &amp; Compliance (Regulated)</t>
  </si>
  <si>
    <t>Data residency &amp; sovereignty</t>
  </si>
  <si>
    <t>Security posture (SOC 2 / ISO 27001 / pen-test)</t>
  </si>
  <si>
    <t>Regulatory fit (GDPR, model-risk mgmt, audit trails)</t>
  </si>
  <si>
    <t>PII handling &amp; data minimization</t>
  </si>
  <si>
    <t>Sub-processor &amp; supply-chain risk</t>
  </si>
  <si>
    <t>Total Cost of Ownership (3-yr)</t>
  </si>
  <si>
    <t>Licensing / consumption cost</t>
  </si>
  <si>
    <t>Implementation &amp; integration cost</t>
  </si>
  <si>
    <t>Internal run / ops cost</t>
  </si>
  <si>
    <t>Vendor Viability &amp; Roadmap</t>
  </si>
  <si>
    <t>Financial stability / funding runway</t>
  </si>
  <si>
    <t>Roadmap alignment &amp; sustained AI investment</t>
  </si>
  <si>
    <t>Reference customers in regulated FS</t>
  </si>
  <si>
    <t>Switching &amp; Lock-in Risk</t>
  </si>
  <si>
    <t>Data portability &amp; exit terms</t>
  </si>
  <si>
    <t>Contractual flexibility (term, pricing, scope)</t>
  </si>
  <si>
    <t>Implementation &amp; Support</t>
  </si>
  <si>
    <t>Time-to-value / implementation effort</t>
  </si>
  <si>
    <t>Support SLAs &amp; CSM quality</t>
  </si>
  <si>
    <t>TOTAL — Weighted Score</t>
  </si>
  <si>
    <t>Normalized score (% of max)</t>
  </si>
  <si>
    <t>Scoring Guide &amp; Method</t>
  </si>
  <si>
    <t>Score</t>
  </si>
  <si>
    <t>Rating</t>
  </si>
  <si>
    <t>Anchor</t>
  </si>
  <si>
    <t>Excellent</t>
  </si>
  <si>
    <t>Best-in-class; clearly exceeds the requirement with proven evidence (references, certs, working POC).</t>
  </si>
  <si>
    <t>Strong</t>
  </si>
  <si>
    <t>Meets the requirement well; minor gaps that are easily mitigated.</t>
  </si>
  <si>
    <t>Adequate</t>
  </si>
  <si>
    <t>Meets the baseline; some gaps requiring workarounds or roadmap commitments.</t>
  </si>
  <si>
    <t>Weak</t>
  </si>
  <si>
    <t>Partially meets; material gaps, significant effort or risk to close.</t>
  </si>
  <si>
    <t>Poor</t>
  </si>
  <si>
    <t>Does not meet the requirement; gap is a likely deal-breaker for this criterion.</t>
  </si>
  <si>
    <t>N/A</t>
  </si>
  <si>
    <t>Not applicable or not evaluable — leave blank rather than score 0 to avoid skewing the average.</t>
  </si>
  <si>
    <t>How to use</t>
  </si>
  <si>
    <t>1. Frame the job first. Set weights to reflect what actually matters for THIS decision before scoring any vendor — weights drive the outcome more than scores.</t>
  </si>
  <si>
    <t>2. The dominant MarTech factor is usually integration/architecture fit, not raw features. The default weights reflect that; adjust to taste.</t>
  </si>
  <si>
    <t>3. Score every vendor against the same evidence bar. A demo is not evidence — prefer references, security docs, and a scoped POC.</t>
  </si>
  <si>
    <t>4. AI &amp; regulated-FS criteria (model lock-in, eval method, data residency, model-risk/audit) are weighted higher here than a generic template. Re-weight if your use case is lower-risk.</t>
  </si>
  <si>
    <t>5. Watch the weight check in the summary band — it must total 100%. Weighted score = weight × score, summed; max possible is 5.00.</t>
  </si>
  <si>
    <t>6. Treat the total as a decision aid, not an oracle. Inspect category subtotals: a high average can still hide a fatal gap in a must-have (e.g. data residency). Use must-pass gates for those.</t>
  </si>
  <si>
    <t>Must-pass gates (score before weighting)</t>
  </si>
  <si>
    <t>Some criteria are pass/fail, not weighted trade-offs — e.g. a hard data-residency requirement, a mandatory security certification, or a regulatory audit-trail obligation. Decide these as gates BEFORE the weighted scoring: a vendor that fails a gate is eliminated regardless of total score. The weighted model then ranks the survivors.</t>
  </si>
  <si>
    <t>Vendor Name</t>
  </si>
  <si>
    <t>Vendor</t>
  </si>
  <si>
    <t>Criteria Description</t>
  </si>
  <si>
    <t>Source</t>
  </si>
  <si>
    <t>Only edit yellow cells in column D (score 5 high and 1 is low) and add sources in column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</si>
</sst>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.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2E5A88"/>
      <name val="Arial"/>
      <charset val="1"/>
    </font>
    <font>
      <sz val="9.5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9.5"/>
      <color rgb="FF0000FF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b/>
      <sz val="10"/>
      <color theme="0"/>
      <name val="Arial"/>
      <family val="2"/>
    </font>
    <font>
      <u/>
      <sz val="11"/>
      <color theme="1"/>
      <name val="Calibri"/>
      <family val="2"/>
      <charset val="1"/>
    </font>
    <font>
      <b/>
      <sz val="10"/>
      <color rgb="FF002060"/>
      <name val="Arial"/>
      <family val="2"/>
    </font>
    <font>
      <i/>
      <sz val="9.5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2E5A88"/>
        <bgColor rgb="FF666666"/>
      </patternFill>
    </fill>
    <fill>
      <patternFill patternType="solid">
        <fgColor rgb="FFEAF0F6"/>
        <bgColor rgb="FFF2F2F2"/>
      </patternFill>
    </fill>
    <fill>
      <patternFill patternType="solid">
        <fgColor rgb="FFD6E2EE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EAF0F6"/>
      </patternFill>
    </fill>
    <fill>
      <patternFill patternType="solid">
        <fgColor rgb="FFF2F2F2"/>
        <bgColor rgb="FFEAF0F6"/>
      </patternFill>
    </fill>
    <fill>
      <patternFill patternType="solid">
        <fgColor rgb="FFFFF2CC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rgb="FFE2EFDA"/>
      </patternFill>
    </fill>
    <fill>
      <patternFill patternType="solid">
        <fgColor rgb="FFFFC000"/>
        <bgColor rgb="FFE2EFDA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7" fillId="4" borderId="1" xfId="0" applyFont="1" applyFill="1" applyBorder="1" applyAlignment="1">
      <alignment horizontal="center" vertical="center" wrapText="1"/>
    </xf>
    <xf numFmtId="9" fontId="3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2" fontId="3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9" fontId="10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9" fontId="11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1" fontId="10" fillId="10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0" borderId="0" xfId="0" applyFont="1"/>
    <xf numFmtId="0" fontId="16" fillId="12" borderId="1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0F6"/>
      <rgbColor rgb="FF660066"/>
      <rgbColor rgb="FFFF8080"/>
      <rgbColor rgb="FF0066CC"/>
      <rgbColor rgb="FFD6E2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A88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zoomScale="90" zoomScaleNormal="90" workbookViewId="0">
      <pane ySplit="7" topLeftCell="A8" activePane="bottomLeft" state="frozen"/>
      <selection pane="bottomLeft" activeCell="G28" sqref="G28"/>
    </sheetView>
  </sheetViews>
  <sheetFormatPr defaultColWidth="8.7109375" defaultRowHeight="15" x14ac:dyDescent="0.25"/>
  <cols>
    <col min="1" max="1" width="26" customWidth="1"/>
    <col min="2" max="2" width="46" customWidth="1"/>
    <col min="3" max="3" width="9" customWidth="1"/>
    <col min="4" max="5" width="11" customWidth="1"/>
    <col min="6" max="6" width="15.7109375" customWidth="1"/>
  </cols>
  <sheetData>
    <row r="1" spans="1:6" ht="27.75" customHeight="1" x14ac:dyDescent="0.25">
      <c r="A1" s="22" t="s">
        <v>0</v>
      </c>
      <c r="B1" s="22"/>
      <c r="C1" s="22"/>
      <c r="D1" s="22"/>
      <c r="E1" s="22"/>
    </row>
    <row r="2" spans="1:6" ht="15.75" customHeight="1" x14ac:dyDescent="0.25">
      <c r="A2" s="34" t="s">
        <v>72</v>
      </c>
      <c r="B2" s="23"/>
      <c r="C2" s="23"/>
      <c r="D2" s="23"/>
      <c r="E2" s="23"/>
    </row>
    <row r="4" spans="1:6" x14ac:dyDescent="0.25">
      <c r="A4" s="24" t="s">
        <v>68</v>
      </c>
      <c r="B4" s="24"/>
      <c r="C4" s="25"/>
      <c r="D4" s="25"/>
      <c r="E4" s="25"/>
    </row>
    <row r="6" spans="1:6" x14ac:dyDescent="0.25">
      <c r="A6" s="31" t="s">
        <v>1</v>
      </c>
      <c r="B6" s="31" t="s">
        <v>70</v>
      </c>
      <c r="C6" s="31" t="s">
        <v>2</v>
      </c>
      <c r="D6" s="21" t="s">
        <v>69</v>
      </c>
      <c r="E6" s="21"/>
      <c r="F6" s="33" t="s">
        <v>71</v>
      </c>
    </row>
    <row r="7" spans="1:6" x14ac:dyDescent="0.25">
      <c r="A7" s="31"/>
      <c r="B7" s="31"/>
      <c r="C7" s="31"/>
      <c r="D7" s="1" t="s">
        <v>3</v>
      </c>
      <c r="E7" s="1" t="s">
        <v>4</v>
      </c>
      <c r="F7" s="33"/>
    </row>
    <row r="8" spans="1:6" ht="15" customHeight="1" x14ac:dyDescent="0.25">
      <c r="A8" s="18" t="s">
        <v>5</v>
      </c>
      <c r="B8" s="18"/>
      <c r="C8" s="2">
        <f>SUM(C9:C12)</f>
        <v>0.2</v>
      </c>
      <c r="D8" s="3"/>
      <c r="E8" s="4">
        <f>SUM(E9:E12)</f>
        <v>0.57999999999999996</v>
      </c>
    </row>
    <row r="9" spans="1:6" ht="15" customHeight="1" x14ac:dyDescent="0.25">
      <c r="A9" s="5"/>
      <c r="B9" s="6" t="s">
        <v>6</v>
      </c>
      <c r="C9" s="7">
        <v>0.08</v>
      </c>
      <c r="D9" s="30">
        <v>4</v>
      </c>
      <c r="E9" s="8">
        <f>$C9*D9</f>
        <v>0.32</v>
      </c>
    </row>
    <row r="10" spans="1:6" x14ac:dyDescent="0.25">
      <c r="A10" s="5"/>
      <c r="B10" s="6" t="s">
        <v>7</v>
      </c>
      <c r="C10" s="7">
        <v>0.05</v>
      </c>
      <c r="D10" s="30">
        <v>1</v>
      </c>
      <c r="E10" s="8">
        <f>$C10*D10</f>
        <v>0.05</v>
      </c>
    </row>
    <row r="11" spans="1:6" x14ac:dyDescent="0.25">
      <c r="A11" s="5"/>
      <c r="B11" s="6" t="s">
        <v>8</v>
      </c>
      <c r="C11" s="7">
        <v>0.04</v>
      </c>
      <c r="D11" s="30">
        <v>3</v>
      </c>
      <c r="E11" s="8">
        <f>$C11*D11</f>
        <v>0.12</v>
      </c>
    </row>
    <row r="12" spans="1:6" x14ac:dyDescent="0.25">
      <c r="A12" s="5"/>
      <c r="B12" s="6" t="s">
        <v>9</v>
      </c>
      <c r="C12" s="7">
        <v>0.03</v>
      </c>
      <c r="D12" s="30">
        <v>3</v>
      </c>
      <c r="E12" s="8">
        <f>$C12*D12</f>
        <v>0.09</v>
      </c>
    </row>
    <row r="13" spans="1:6" ht="15" customHeight="1" x14ac:dyDescent="0.25">
      <c r="A13" s="18" t="s">
        <v>10</v>
      </c>
      <c r="B13" s="18"/>
      <c r="C13" s="2">
        <f>SUM(C14:C17)</f>
        <v>0.18</v>
      </c>
      <c r="D13" s="3"/>
      <c r="E13" s="4">
        <f>SUM(E14:E17)</f>
        <v>0.77</v>
      </c>
    </row>
    <row r="14" spans="1:6" ht="15" customHeight="1" x14ac:dyDescent="0.25">
      <c r="A14" s="5"/>
      <c r="B14" s="6" t="s">
        <v>11</v>
      </c>
      <c r="C14" s="7">
        <v>7.0000000000000007E-2</v>
      </c>
      <c r="D14" s="30">
        <v>5</v>
      </c>
      <c r="E14" s="8">
        <f>$C14*D14</f>
        <v>0.35000000000000003</v>
      </c>
    </row>
    <row r="15" spans="1:6" x14ac:dyDescent="0.25">
      <c r="A15" s="5"/>
      <c r="B15" s="6" t="s">
        <v>12</v>
      </c>
      <c r="C15" s="7">
        <v>0.05</v>
      </c>
      <c r="D15" s="30">
        <v>4</v>
      </c>
      <c r="E15" s="8">
        <f>$C15*D15</f>
        <v>0.2</v>
      </c>
    </row>
    <row r="16" spans="1:6" x14ac:dyDescent="0.25">
      <c r="A16" s="5"/>
      <c r="B16" s="6" t="s">
        <v>13</v>
      </c>
      <c r="C16" s="7">
        <v>0.04</v>
      </c>
      <c r="D16" s="30">
        <v>4</v>
      </c>
      <c r="E16" s="8">
        <f>$C16*D16</f>
        <v>0.16</v>
      </c>
    </row>
    <row r="17" spans="1:5" x14ac:dyDescent="0.25">
      <c r="A17" s="5"/>
      <c r="B17" s="6" t="s">
        <v>14</v>
      </c>
      <c r="C17" s="7">
        <v>0.02</v>
      </c>
      <c r="D17" s="30">
        <v>3</v>
      </c>
      <c r="E17" s="8">
        <f>$C17*D17</f>
        <v>0.06</v>
      </c>
    </row>
    <row r="18" spans="1:5" ht="15" customHeight="1" x14ac:dyDescent="0.25">
      <c r="A18" s="18" t="s">
        <v>15</v>
      </c>
      <c r="B18" s="18"/>
      <c r="C18" s="2">
        <f>SUM(C19:C23)</f>
        <v>0.15</v>
      </c>
      <c r="D18" s="3"/>
      <c r="E18" s="4">
        <f>SUM(E19:E23)</f>
        <v>0.55000000000000004</v>
      </c>
    </row>
    <row r="19" spans="1:5" x14ac:dyDescent="0.25">
      <c r="A19" s="5"/>
      <c r="B19" s="6" t="s">
        <v>16</v>
      </c>
      <c r="C19" s="7">
        <v>0.04</v>
      </c>
      <c r="D19" s="30">
        <v>4</v>
      </c>
      <c r="E19" s="8">
        <f>$C19*D19</f>
        <v>0.16</v>
      </c>
    </row>
    <row r="20" spans="1:5" x14ac:dyDescent="0.25">
      <c r="A20" s="5"/>
      <c r="B20" s="6" t="s">
        <v>17</v>
      </c>
      <c r="C20" s="7">
        <v>0.03</v>
      </c>
      <c r="D20" s="30">
        <v>3</v>
      </c>
      <c r="E20" s="8">
        <f>$C20*D20</f>
        <v>0.09</v>
      </c>
    </row>
    <row r="21" spans="1:5" x14ac:dyDescent="0.25">
      <c r="A21" s="5"/>
      <c r="B21" s="6" t="s">
        <v>18</v>
      </c>
      <c r="C21" s="7">
        <v>0.03</v>
      </c>
      <c r="D21" s="30">
        <v>4</v>
      </c>
      <c r="E21" s="8">
        <f>$C21*D21</f>
        <v>0.12</v>
      </c>
    </row>
    <row r="22" spans="1:5" x14ac:dyDescent="0.25">
      <c r="A22" s="5"/>
      <c r="B22" s="6" t="s">
        <v>19</v>
      </c>
      <c r="C22" s="7">
        <v>0.03</v>
      </c>
      <c r="D22" s="30">
        <v>4</v>
      </c>
      <c r="E22" s="8">
        <f>$C22*D22</f>
        <v>0.12</v>
      </c>
    </row>
    <row r="23" spans="1:5" x14ac:dyDescent="0.25">
      <c r="A23" s="5"/>
      <c r="B23" s="6" t="s">
        <v>20</v>
      </c>
      <c r="C23" s="7">
        <v>0.02</v>
      </c>
      <c r="D23" s="30">
        <v>3</v>
      </c>
      <c r="E23" s="8">
        <f>$C23*D23</f>
        <v>0.06</v>
      </c>
    </row>
    <row r="24" spans="1:5" ht="15" customHeight="1" x14ac:dyDescent="0.25">
      <c r="A24" s="18" t="s">
        <v>21</v>
      </c>
      <c r="B24" s="18"/>
      <c r="C24" s="2">
        <f>SUM(C25:C29)</f>
        <v>0.15999999999999998</v>
      </c>
      <c r="D24" s="3"/>
      <c r="E24" s="4">
        <f>SUM(E25:E29)</f>
        <v>0.61999999999999988</v>
      </c>
    </row>
    <row r="25" spans="1:5" x14ac:dyDescent="0.25">
      <c r="A25" s="5"/>
      <c r="B25" s="6" t="s">
        <v>22</v>
      </c>
      <c r="C25" s="7">
        <v>0.04</v>
      </c>
      <c r="D25" s="30">
        <v>3</v>
      </c>
      <c r="E25" s="8">
        <f>$C25*D25</f>
        <v>0.12</v>
      </c>
    </row>
    <row r="26" spans="1:5" x14ac:dyDescent="0.25">
      <c r="A26" s="5"/>
      <c r="B26" s="6" t="s">
        <v>23</v>
      </c>
      <c r="C26" s="7">
        <v>0.04</v>
      </c>
      <c r="D26" s="30">
        <v>5</v>
      </c>
      <c r="E26" s="8">
        <f>$C26*D26</f>
        <v>0.2</v>
      </c>
    </row>
    <row r="27" spans="1:5" x14ac:dyDescent="0.25">
      <c r="A27" s="5"/>
      <c r="B27" s="6" t="s">
        <v>24</v>
      </c>
      <c r="C27" s="7">
        <v>0.04</v>
      </c>
      <c r="D27" s="30">
        <v>4</v>
      </c>
      <c r="E27" s="8">
        <f>$C27*D27</f>
        <v>0.16</v>
      </c>
    </row>
    <row r="28" spans="1:5" x14ac:dyDescent="0.25">
      <c r="A28" s="5"/>
      <c r="B28" s="6" t="s">
        <v>25</v>
      </c>
      <c r="C28" s="7">
        <v>0.02</v>
      </c>
      <c r="D28" s="30">
        <v>4</v>
      </c>
      <c r="E28" s="8">
        <f>$C28*D28</f>
        <v>0.08</v>
      </c>
    </row>
    <row r="29" spans="1:5" x14ac:dyDescent="0.25">
      <c r="A29" s="5"/>
      <c r="B29" s="6" t="s">
        <v>26</v>
      </c>
      <c r="C29" s="7">
        <v>0.02</v>
      </c>
      <c r="D29" s="30">
        <v>3</v>
      </c>
      <c r="E29" s="8">
        <f>$C29*D29</f>
        <v>0.06</v>
      </c>
    </row>
    <row r="30" spans="1:5" ht="15" customHeight="1" x14ac:dyDescent="0.25">
      <c r="A30" s="18" t="s">
        <v>27</v>
      </c>
      <c r="B30" s="18"/>
      <c r="C30" s="2">
        <f>SUM(C31:C33)</f>
        <v>0.12</v>
      </c>
      <c r="D30" s="3"/>
      <c r="E30" s="4">
        <f>SUM(E31:E33)</f>
        <v>0.44</v>
      </c>
    </row>
    <row r="31" spans="1:5" x14ac:dyDescent="0.25">
      <c r="A31" s="5"/>
      <c r="B31" s="6" t="s">
        <v>28</v>
      </c>
      <c r="C31" s="7">
        <v>0.05</v>
      </c>
      <c r="D31" s="30">
        <v>4</v>
      </c>
      <c r="E31" s="8">
        <f>$C31*D31</f>
        <v>0.2</v>
      </c>
    </row>
    <row r="32" spans="1:5" x14ac:dyDescent="0.25">
      <c r="A32" s="5"/>
      <c r="B32" s="6" t="s">
        <v>29</v>
      </c>
      <c r="C32" s="7">
        <v>0.04</v>
      </c>
      <c r="D32" s="30">
        <v>3</v>
      </c>
      <c r="E32" s="8">
        <f>$C32*D32</f>
        <v>0.12</v>
      </c>
    </row>
    <row r="33" spans="1:5" x14ac:dyDescent="0.25">
      <c r="A33" s="5"/>
      <c r="B33" s="6" t="s">
        <v>30</v>
      </c>
      <c r="C33" s="7">
        <v>0.03</v>
      </c>
      <c r="D33" s="30">
        <v>4</v>
      </c>
      <c r="E33" s="8">
        <f>$C33*D33</f>
        <v>0.12</v>
      </c>
    </row>
    <row r="34" spans="1:5" ht="15" customHeight="1" x14ac:dyDescent="0.25">
      <c r="A34" s="18" t="s">
        <v>31</v>
      </c>
      <c r="B34" s="18"/>
      <c r="C34" s="2">
        <f>SUM(C35:C37)</f>
        <v>0.1</v>
      </c>
      <c r="D34" s="3"/>
      <c r="E34" s="4">
        <f>SUM(E35:E37)</f>
        <v>0.32999999999999996</v>
      </c>
    </row>
    <row r="35" spans="1:5" x14ac:dyDescent="0.25">
      <c r="A35" s="5"/>
      <c r="B35" s="6" t="s">
        <v>32</v>
      </c>
      <c r="C35" s="7">
        <v>0.03</v>
      </c>
      <c r="D35" s="30">
        <v>4</v>
      </c>
      <c r="E35" s="8">
        <f>$C35*D35</f>
        <v>0.12</v>
      </c>
    </row>
    <row r="36" spans="1:5" x14ac:dyDescent="0.25">
      <c r="A36" s="5"/>
      <c r="B36" s="6" t="s">
        <v>33</v>
      </c>
      <c r="C36" s="7">
        <v>0.04</v>
      </c>
      <c r="D36" s="30">
        <v>3</v>
      </c>
      <c r="E36" s="8">
        <f>$C36*D36</f>
        <v>0.12</v>
      </c>
    </row>
    <row r="37" spans="1:5" x14ac:dyDescent="0.25">
      <c r="A37" s="5"/>
      <c r="B37" s="6" t="s">
        <v>34</v>
      </c>
      <c r="C37" s="7">
        <v>0.03</v>
      </c>
      <c r="D37" s="30">
        <v>3</v>
      </c>
      <c r="E37" s="8">
        <f>$C37*D37</f>
        <v>0.09</v>
      </c>
    </row>
    <row r="38" spans="1:5" ht="15" customHeight="1" x14ac:dyDescent="0.25">
      <c r="A38" s="18" t="s">
        <v>35</v>
      </c>
      <c r="B38" s="18"/>
      <c r="C38" s="2">
        <f>SUM(C39:C40)</f>
        <v>0.05</v>
      </c>
      <c r="D38" s="3"/>
      <c r="E38" s="4">
        <f>SUM(E39:E40)</f>
        <v>0.22999999999999998</v>
      </c>
    </row>
    <row r="39" spans="1:5" x14ac:dyDescent="0.25">
      <c r="A39" s="5"/>
      <c r="B39" s="6" t="s">
        <v>36</v>
      </c>
      <c r="C39" s="7">
        <v>0.03</v>
      </c>
      <c r="D39" s="30">
        <v>5</v>
      </c>
      <c r="E39" s="8">
        <f>$C39*D39</f>
        <v>0.15</v>
      </c>
    </row>
    <row r="40" spans="1:5" x14ac:dyDescent="0.25">
      <c r="A40" s="5"/>
      <c r="B40" s="6" t="s">
        <v>37</v>
      </c>
      <c r="C40" s="7">
        <v>0.02</v>
      </c>
      <c r="D40" s="30">
        <v>4</v>
      </c>
      <c r="E40" s="8">
        <f>$C40*D40</f>
        <v>0.08</v>
      </c>
    </row>
    <row r="41" spans="1:5" ht="15" customHeight="1" x14ac:dyDescent="0.25">
      <c r="A41" s="18" t="s">
        <v>38</v>
      </c>
      <c r="B41" s="18"/>
      <c r="C41" s="2">
        <f>SUM(C42:C43)</f>
        <v>0.04</v>
      </c>
      <c r="D41" s="3"/>
      <c r="E41" s="4">
        <f>SUM(E42:E43)</f>
        <v>0.14000000000000001</v>
      </c>
    </row>
    <row r="42" spans="1:5" x14ac:dyDescent="0.25">
      <c r="A42" s="5"/>
      <c r="B42" s="6" t="s">
        <v>39</v>
      </c>
      <c r="C42" s="7">
        <v>0.02</v>
      </c>
      <c r="D42" s="30">
        <v>4</v>
      </c>
      <c r="E42" s="8">
        <f>$C42*D42</f>
        <v>0.08</v>
      </c>
    </row>
    <row r="43" spans="1:5" x14ac:dyDescent="0.25">
      <c r="A43" s="5"/>
      <c r="B43" s="6" t="s">
        <v>40</v>
      </c>
      <c r="C43" s="7">
        <v>0.02</v>
      </c>
      <c r="D43" s="30">
        <v>3</v>
      </c>
      <c r="E43" s="8">
        <f>$C43*D43</f>
        <v>0.06</v>
      </c>
    </row>
    <row r="45" spans="1:5" x14ac:dyDescent="0.25">
      <c r="A45" s="19" t="s">
        <v>41</v>
      </c>
      <c r="B45" s="19"/>
      <c r="C45" s="9">
        <f>C9+C10+C11+C12+C14+C15+C16+C17+C19+C20+C21+C22+C23+C25+C26+C27+C28+C29+C31+C32+C33+C35+C36+C37+C39+C40+C42+C43</f>
        <v>1.0000000000000004</v>
      </c>
      <c r="D45" s="10"/>
      <c r="E45" s="11">
        <f>E9+E10+E11+E12+E14+E15+E16+E17+E19+E20+E21+E22+E23+E25+E26+E27+E28+E29+E31+E32+E33+E35+E36+E37+E39+E40+E42+E43</f>
        <v>3.660000000000001</v>
      </c>
    </row>
    <row r="46" spans="1:5" x14ac:dyDescent="0.25">
      <c r="A46" s="20" t="s">
        <v>42</v>
      </c>
      <c r="B46" s="20"/>
      <c r="C46" s="12"/>
      <c r="D46" s="12"/>
      <c r="E46" s="13">
        <f>E45/5</f>
        <v>0.73200000000000021</v>
      </c>
    </row>
    <row r="50" spans="1:1" x14ac:dyDescent="0.25">
      <c r="A50" s="32"/>
    </row>
  </sheetData>
  <mergeCells count="19">
    <mergeCell ref="F6:F7"/>
    <mergeCell ref="A1:E1"/>
    <mergeCell ref="A2:E2"/>
    <mergeCell ref="A4:B4"/>
    <mergeCell ref="C4:E4"/>
    <mergeCell ref="A6:A7"/>
    <mergeCell ref="B6:B7"/>
    <mergeCell ref="C6:C7"/>
    <mergeCell ref="D6:E6"/>
    <mergeCell ref="A8:B8"/>
    <mergeCell ref="A13:B13"/>
    <mergeCell ref="A18:B18"/>
    <mergeCell ref="A24:B24"/>
    <mergeCell ref="A30:B30"/>
    <mergeCell ref="A34:B34"/>
    <mergeCell ref="A38:B38"/>
    <mergeCell ref="A41:B41"/>
    <mergeCell ref="A45:B45"/>
    <mergeCell ref="A46:B46"/>
  </mergeCells>
  <pageMargins left="0.75" right="0.75" top="1" bottom="1" header="0.511811023622047" footer="0.511811023622047"/>
  <pageSetup paperSize="9" orientation="portrait" horizontalDpi="300" verticalDpi="300"/>
  <ignoredErrors>
    <ignoredError sqref="E13:E4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10" customWidth="1"/>
    <col min="2" max="2" width="22" customWidth="1"/>
    <col min="3" max="3" width="128.140625" customWidth="1"/>
  </cols>
  <sheetData>
    <row r="1" spans="1:3" ht="25.5" customHeight="1" x14ac:dyDescent="0.25">
      <c r="A1" s="28" t="s">
        <v>43</v>
      </c>
      <c r="B1" s="28"/>
      <c r="C1" s="28"/>
    </row>
    <row r="3" spans="1:3" x14ac:dyDescent="0.25">
      <c r="A3" s="14" t="s">
        <v>44</v>
      </c>
      <c r="B3" s="14" t="s">
        <v>45</v>
      </c>
      <c r="C3" s="14" t="s">
        <v>46</v>
      </c>
    </row>
    <row r="4" spans="1:3" ht="30" customHeight="1" x14ac:dyDescent="0.25">
      <c r="A4" s="15">
        <v>5</v>
      </c>
      <c r="B4" s="16" t="s">
        <v>47</v>
      </c>
      <c r="C4" s="17" t="s">
        <v>48</v>
      </c>
    </row>
    <row r="5" spans="1:3" ht="30" customHeight="1" x14ac:dyDescent="0.25">
      <c r="A5" s="15">
        <v>4</v>
      </c>
      <c r="B5" s="16" t="s">
        <v>49</v>
      </c>
      <c r="C5" s="17" t="s">
        <v>50</v>
      </c>
    </row>
    <row r="6" spans="1:3" ht="30" customHeight="1" x14ac:dyDescent="0.25">
      <c r="A6" s="15">
        <v>3</v>
      </c>
      <c r="B6" s="16" t="s">
        <v>51</v>
      </c>
      <c r="C6" s="17" t="s">
        <v>52</v>
      </c>
    </row>
    <row r="7" spans="1:3" ht="30" customHeight="1" x14ac:dyDescent="0.25">
      <c r="A7" s="15">
        <v>2</v>
      </c>
      <c r="B7" s="16" t="s">
        <v>53</v>
      </c>
      <c r="C7" s="17" t="s">
        <v>54</v>
      </c>
    </row>
    <row r="8" spans="1:3" ht="30" customHeight="1" x14ac:dyDescent="0.25">
      <c r="A8" s="15">
        <v>1</v>
      </c>
      <c r="B8" s="16" t="s">
        <v>55</v>
      </c>
      <c r="C8" s="17" t="s">
        <v>56</v>
      </c>
    </row>
    <row r="9" spans="1:3" ht="30" customHeight="1" x14ac:dyDescent="0.25">
      <c r="A9" s="15">
        <v>0</v>
      </c>
      <c r="B9" s="16" t="s">
        <v>57</v>
      </c>
      <c r="C9" s="17" t="s">
        <v>58</v>
      </c>
    </row>
    <row r="11" spans="1:3" x14ac:dyDescent="0.25">
      <c r="A11" s="29" t="s">
        <v>59</v>
      </c>
      <c r="B11" s="29"/>
      <c r="C11" s="29"/>
    </row>
    <row r="12" spans="1:3" ht="30" customHeight="1" x14ac:dyDescent="0.25">
      <c r="A12" s="26" t="s">
        <v>60</v>
      </c>
      <c r="B12" s="26"/>
      <c r="C12" s="26"/>
    </row>
    <row r="13" spans="1:3" ht="30" customHeight="1" x14ac:dyDescent="0.25">
      <c r="A13" s="26" t="s">
        <v>61</v>
      </c>
      <c r="B13" s="26"/>
      <c r="C13" s="26"/>
    </row>
    <row r="14" spans="1:3" ht="30" customHeight="1" x14ac:dyDescent="0.25">
      <c r="A14" s="26" t="s">
        <v>62</v>
      </c>
      <c r="B14" s="26"/>
      <c r="C14" s="26"/>
    </row>
    <row r="15" spans="1:3" ht="30" customHeight="1" x14ac:dyDescent="0.25">
      <c r="A15" s="26" t="s">
        <v>63</v>
      </c>
      <c r="B15" s="26"/>
      <c r="C15" s="26"/>
    </row>
    <row r="16" spans="1:3" ht="30" customHeight="1" x14ac:dyDescent="0.25">
      <c r="A16" s="26" t="s">
        <v>64</v>
      </c>
      <c r="B16" s="26"/>
      <c r="C16" s="26"/>
    </row>
    <row r="17" spans="1:3" ht="30" customHeight="1" x14ac:dyDescent="0.25">
      <c r="A17" s="26" t="s">
        <v>65</v>
      </c>
      <c r="B17" s="26"/>
      <c r="C17" s="26"/>
    </row>
    <row r="19" spans="1:3" x14ac:dyDescent="0.25">
      <c r="A19" s="27" t="s">
        <v>66</v>
      </c>
      <c r="B19" s="27"/>
      <c r="C19" s="27"/>
    </row>
    <row r="20" spans="1:3" ht="60" customHeight="1" x14ac:dyDescent="0.25">
      <c r="A20" s="26" t="s">
        <v>67</v>
      </c>
      <c r="B20" s="26"/>
      <c r="C20" s="26"/>
    </row>
  </sheetData>
  <mergeCells count="10">
    <mergeCell ref="A1:C1"/>
    <mergeCell ref="A11:C11"/>
    <mergeCell ref="A12:C12"/>
    <mergeCell ref="A13:C13"/>
    <mergeCell ref="A14:C14"/>
    <mergeCell ref="A15:C15"/>
    <mergeCell ref="A16:C16"/>
    <mergeCell ref="A17:C17"/>
    <mergeCell ref="A19:C19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Saurav Tripathy</cp:lastModifiedBy>
  <cp:revision>0</cp:revision>
  <dcterms:created xsi:type="dcterms:W3CDTF">2026-06-17T22:17:45Z</dcterms:created>
  <dcterms:modified xsi:type="dcterms:W3CDTF">2026-06-25T09:32:18Z</dcterms:modified>
  <dc:language>en-US</dc:language>
</cp:coreProperties>
</file>